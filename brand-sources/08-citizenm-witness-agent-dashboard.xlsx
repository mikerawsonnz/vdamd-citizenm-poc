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ness Agent Dashboard" sheetId="1" state="visible" r:id="rId1"/>
    <sheet xmlns:r="http://schemas.openxmlformats.org/officeDocument/2006/relationships" name="Compli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85D24"/>
      </patternFill>
    </fill>
    <fill>
      <patternFill patternType="solid">
        <fgColor rgb="00FFFFFF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42" customWidth="1" min="5" max="5"/>
    <col width="55" customWidth="1" min="6" max="6"/>
    <col width="18" customWidth="1" min="7" max="7"/>
    <col width="22" customWidth="1" min="8" max="8"/>
  </cols>
  <sheetData>
    <row r="1">
      <c r="A1" s="1" t="inlineStr">
        <is>
          <t>citizenM AI Governance — Witness Agent Compliance Dashboard</t>
        </is>
      </c>
    </row>
    <row r="2">
      <c r="A2" s="2" t="inlineStr">
        <is>
          <t>VDA-MD Framework  |  CISO  |  Auto-generated from Witness Agent log  |  March 2026</t>
        </is>
      </c>
    </row>
    <row r="4">
      <c r="A4" s="3" t="inlineStr">
        <is>
          <t>Timestamp (UTC)</t>
        </is>
      </c>
      <c r="B4" s="3" t="inlineStr">
        <is>
          <t>Agent Name</t>
        </is>
      </c>
      <c r="C4" s="3" t="inlineStr">
        <is>
          <t>Domain</t>
        </is>
      </c>
      <c r="D4" s="3" t="inlineStr">
        <is>
          <t>Decision</t>
        </is>
      </c>
      <c r="E4" s="3" t="inlineStr">
        <is>
          <t>Governance File</t>
        </is>
      </c>
      <c r="F4" s="3" t="inlineStr">
        <is>
          <t>Clause Applied</t>
        </is>
      </c>
      <c r="G4" s="3" t="inlineStr">
        <is>
          <t>Exception Applied?</t>
        </is>
      </c>
      <c r="H4" s="3" t="inlineStr">
        <is>
          <t>Escalation Target</t>
        </is>
      </c>
    </row>
    <row r="5">
      <c r="A5" s="4" t="inlineStr">
        <is>
          <t>2026-03-20 07:14:38</t>
        </is>
      </c>
      <c r="B5" s="4" t="inlineStr">
        <is>
          <t>Stay Agent — Amsterdam City</t>
        </is>
      </c>
      <c r="C5" s="4" t="inlineStr">
        <is>
          <t>Operations</t>
        </is>
      </c>
      <c r="D5" s="4" t="inlineStr">
        <is>
          <t>PASS</t>
        </is>
      </c>
      <c r="E5" s="4" t="inlineStr">
        <is>
          <t>hospitality-stay-VIP-checkout-exception.md</t>
        </is>
      </c>
      <c r="F5" s="4" t="inlineStr">
        <is>
          <t>MAY grant checkout to 14:00 without fee for verified Black members</t>
        </is>
      </c>
      <c r="G5" s="4" t="inlineStr">
        <is>
          <t>Yes</t>
        </is>
      </c>
      <c r="H5" s="4" t="inlineStr"/>
    </row>
    <row r="6">
      <c r="A6" s="5" t="inlineStr">
        <is>
          <t>2026-03-20 07:52:11</t>
        </is>
      </c>
      <c r="B6" s="5" t="inlineStr">
        <is>
          <t>S2P Agent — Finance</t>
        </is>
      </c>
      <c r="C6" s="5" t="inlineStr">
        <is>
          <t>Shared Services</t>
        </is>
      </c>
      <c r="D6" s="5" t="inlineStr">
        <is>
          <t>FAIL</t>
        </is>
      </c>
      <c r="E6" s="5" t="inlineStr">
        <is>
          <t>S2P-approval-authority.md</t>
        </is>
      </c>
      <c r="F6" s="5" t="inlineStr">
        <is>
          <t>MUST NOT process PO above requestor's authority level</t>
        </is>
      </c>
      <c r="G6" s="5" t="inlineStr">
        <is>
          <t>No</t>
        </is>
      </c>
      <c r="H6" s="5" t="inlineStr">
        <is>
          <t>Operations Director</t>
        </is>
      </c>
    </row>
    <row r="7">
      <c r="A7" s="4" t="inlineStr">
        <is>
          <t>2026-03-20 08:03:44</t>
        </is>
      </c>
      <c r="B7" s="4" t="inlineStr">
        <is>
          <t>S2P Agent — Finance</t>
        </is>
      </c>
      <c r="C7" s="4" t="inlineStr">
        <is>
          <t>Shared Services</t>
        </is>
      </c>
      <c r="D7" s="4" t="inlineStr">
        <is>
          <t>PASS</t>
        </is>
      </c>
      <c r="E7" s="4" t="inlineStr">
        <is>
          <t>S2P-preferred-tech-supplier-exception.md</t>
        </is>
      </c>
      <c r="F7" s="4" t="inlineStr">
        <is>
          <t>MAY approve up to 75k at Operations Director level for Preferred Tech suppliers</t>
        </is>
      </c>
      <c r="G7" s="4" t="inlineStr">
        <is>
          <t>Yes</t>
        </is>
      </c>
      <c r="H7" s="4" t="inlineStr"/>
    </row>
    <row r="8">
      <c r="A8" s="5" t="inlineStr">
        <is>
          <t>2026-03-20 08:31:09</t>
        </is>
      </c>
      <c r="B8" s="5" t="inlineStr">
        <is>
          <t>HRpay Agent — People Ops</t>
        </is>
      </c>
      <c r="C8" s="5" t="inlineStr">
        <is>
          <t>Shared Services</t>
        </is>
      </c>
      <c r="D8" s="5" t="inlineStr">
        <is>
          <t>ESCALATE</t>
        </is>
      </c>
      <c r="E8" s="5" t="inlineStr">
        <is>
          <t>HRpay-tech-role-fasttrack-exception.md</t>
        </is>
      </c>
      <c r="F8" s="5" t="inlineStr">
        <is>
          <t>MUST flag and NOT provision if CISO sign-off missing</t>
        </is>
      </c>
      <c r="G8" s="5" t="inlineStr">
        <is>
          <t>No</t>
        </is>
      </c>
      <c r="H8" s="5" t="inlineStr">
        <is>
          <t>CISO</t>
        </is>
      </c>
    </row>
    <row r="9">
      <c r="A9" s="4" t="inlineStr">
        <is>
          <t>2026-03-20 09:12:55</t>
        </is>
      </c>
      <c r="B9" s="4" t="inlineStr">
        <is>
          <t>Book Agent — Revenue</t>
        </is>
      </c>
      <c r="C9" s="4" t="inlineStr">
        <is>
          <t>Business</t>
        </is>
      </c>
      <c r="D9" s="4" t="inlineStr">
        <is>
          <t>PASS</t>
        </is>
      </c>
      <c r="E9" s="4" t="inlineStr">
        <is>
          <t>hospitality-book-key-account-exception.md</t>
        </is>
      </c>
      <c r="F9" s="4" t="inlineStr">
        <is>
          <t>MAY approve up to 18% for Tier 1 accounts at Revenue Manager authority</t>
        </is>
      </c>
      <c r="G9" s="4" t="inlineStr">
        <is>
          <t>Yes</t>
        </is>
      </c>
      <c r="H9" s="4" t="inlineStr"/>
    </row>
    <row r="10">
      <c r="A10" s="5" t="inlineStr">
        <is>
          <t>2026-03-20 10:08:03</t>
        </is>
      </c>
      <c r="B10" s="5" t="inlineStr">
        <is>
          <t>Stay Agent — Glasgow</t>
        </is>
      </c>
      <c r="C10" s="5" t="inlineStr">
        <is>
          <t>Operations</t>
        </is>
      </c>
      <c r="D10" s="5" t="inlineStr">
        <is>
          <t>FAIL</t>
        </is>
      </c>
      <c r="E10" s="5" t="inlineStr">
        <is>
          <t>hospitality-stay-checkout.md</t>
        </is>
      </c>
      <c r="F10" s="5" t="inlineStr">
        <is>
          <t>MUST NOT waive late checkout fee without Operations Director authorisation</t>
        </is>
      </c>
      <c r="G10" s="5" t="inlineStr">
        <is>
          <t>No</t>
        </is>
      </c>
      <c r="H10" s="5" t="inlineStr">
        <is>
          <t>Operations Director</t>
        </is>
      </c>
    </row>
    <row r="11">
      <c r="A11" s="4" t="inlineStr">
        <is>
          <t>2026-03-20 10:33:41</t>
        </is>
      </c>
      <c r="B11" s="4" t="inlineStr">
        <is>
          <t>S2P Agent — Finance</t>
        </is>
      </c>
      <c r="C11" s="4" t="inlineStr">
        <is>
          <t>Shared Services</t>
        </is>
      </c>
      <c r="D11" s="4" t="inlineStr">
        <is>
          <t>ESCALATE</t>
        </is>
      </c>
      <c r="E11" s="4" t="inlineStr">
        <is>
          <t>S2P-approval-authority.md</t>
        </is>
      </c>
      <c r="F11" s="4" t="inlineStr">
        <is>
          <t>MUST NOT process PO above requestor authority level — CFO required for 50k-250k</t>
        </is>
      </c>
      <c r="G11" s="4" t="inlineStr">
        <is>
          <t>No</t>
        </is>
      </c>
      <c r="H11" s="4" t="inlineStr">
        <is>
          <t>CFO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</cols>
  <sheetData>
    <row r="1">
      <c r="A1" s="1" t="inlineStr">
        <is>
          <t>Compliance Summary — March 2026 YTD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Framework Reference</t>
        </is>
      </c>
    </row>
    <row r="4">
      <c r="A4" s="4" t="inlineStr">
        <is>
          <t>Total agent decisions logged</t>
        </is>
      </c>
      <c r="B4" s="4">
        <f>COUNTA(Dashboard!A5:A1000)</f>
        <v/>
      </c>
      <c r="C4" s="4" t="inlineStr">
        <is>
          <t>Witness Agent — AU-2</t>
        </is>
      </c>
    </row>
    <row r="5">
      <c r="A5" s="5" t="inlineStr">
        <is>
          <t>PASS decisions</t>
        </is>
      </c>
      <c r="B5" s="5">
        <f>COUNTIF(Dashboard!D5:D1000,"PASS")</f>
        <v/>
      </c>
      <c r="C5" s="5" t="inlineStr">
        <is>
          <t>NIST AC-2, AU-2</t>
        </is>
      </c>
    </row>
    <row r="6">
      <c r="A6" s="4" t="inlineStr">
        <is>
          <t>FAIL decisions</t>
        </is>
      </c>
      <c r="B6" s="4">
        <f>COUNTIF(Dashboard!D5:D1000,"FAIL")</f>
        <v/>
      </c>
      <c r="C6" s="4" t="inlineStr">
        <is>
          <t>NIST AC-2, AU-2</t>
        </is>
      </c>
    </row>
    <row r="7">
      <c r="A7" s="5" t="inlineStr">
        <is>
          <t>ESCALATE decisions</t>
        </is>
      </c>
      <c r="B7" s="5">
        <f>COUNTIF(Dashboard!D5:D1000,"ESCALATE")</f>
        <v/>
      </c>
      <c r="C7" s="5" t="inlineStr">
        <is>
          <t>NIST IR-4</t>
        </is>
      </c>
    </row>
    <row r="8">
      <c r="A8" s="4" t="inlineStr">
        <is>
          <t>Exception overlays applied</t>
        </is>
      </c>
      <c r="B8" s="4">
        <f>COUNTIF(Dashboard!G5:G1000,"Yes")</f>
        <v/>
      </c>
      <c r="C8" s="4" t="inlineStr">
        <is>
          <t>VDA-MD Exception Engine</t>
        </is>
      </c>
    </row>
    <row r="9">
      <c r="A9" s="5" t="inlineStr">
        <is>
          <t>Pass rate</t>
        </is>
      </c>
      <c r="B9" s="5">
        <f>IF(B4&gt;0,B4/B3,0)</f>
        <v/>
      </c>
      <c r="C9" s="5" t="inlineStr">
        <is>
          <t>SOC 2 Type II KPI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2026-03-20T12:10:11Z</dcterms:created>
  <dcterms:modified xmlns:dcterms="http://purl.org/dc/terms/" xmlns:xsi="http://www.w3.org/2001/XMLSchema-instance" xsi:type="dcterms:W3CDTF">2026-03-20T12:10:11Z</dcterms:modified>
</cp:coreProperties>
</file>